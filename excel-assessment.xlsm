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Yathi\Downloads\"/>
    </mc:Choice>
  </mc:AlternateContent>
  <bookViews>
    <workbookView xWindow="0" yWindow="0" windowWidth="20490" windowHeight="762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0" l="1"/>
  <c r="E24" i="20"/>
  <c r="F24" i="20"/>
  <c r="E25" i="20"/>
  <c r="F25" i="20"/>
  <c r="E26" i="20"/>
  <c r="F26" i="20"/>
  <c r="E27" i="20"/>
  <c r="F27" i="20"/>
  <c r="E28" i="20"/>
  <c r="F28" i="20"/>
  <c r="E29" i="20"/>
  <c r="F29" i="20"/>
  <c r="E30" i="20"/>
  <c r="F30" i="20"/>
  <c r="E31" i="20"/>
  <c r="F31" i="20"/>
  <c r="E32" i="20"/>
  <c r="F32" i="20"/>
  <c r="E33" i="20"/>
  <c r="F33" i="20"/>
  <c r="E34" i="20"/>
  <c r="F34" i="20"/>
  <c r="E35" i="20"/>
  <c r="F35" i="20"/>
  <c r="F23" i="20"/>
  <c r="E23" i="20"/>
  <c r="C22" i="19" a="1"/>
  <c r="C22" i="19"/>
  <c r="D7" i="18"/>
  <c r="E7" i="18"/>
  <c r="E29" i="18" s="1"/>
  <c r="F7" i="18"/>
  <c r="D8" i="18"/>
  <c r="D29" i="18" s="1"/>
  <c r="E8" i="18"/>
  <c r="F8" i="18"/>
  <c r="D9" i="18"/>
  <c r="E9" i="18"/>
  <c r="F9" i="18"/>
  <c r="D10" i="18"/>
  <c r="E10" i="18"/>
  <c r="F10" i="18"/>
  <c r="D11" i="18"/>
  <c r="E11" i="18"/>
  <c r="F11" i="18"/>
  <c r="D12" i="18"/>
  <c r="E12" i="18"/>
  <c r="F12" i="18"/>
  <c r="D13" i="18"/>
  <c r="E13" i="18"/>
  <c r="F13" i="18"/>
  <c r="D14" i="18"/>
  <c r="E14" i="18"/>
  <c r="F14" i="18"/>
  <c r="D15" i="18"/>
  <c r="E15" i="18"/>
  <c r="F15" i="18"/>
  <c r="D16" i="18"/>
  <c r="E16" i="18"/>
  <c r="F16" i="18"/>
  <c r="D17" i="18"/>
  <c r="E17" i="18"/>
  <c r="F17" i="18"/>
  <c r="D18" i="18"/>
  <c r="E18" i="18"/>
  <c r="F18" i="18"/>
  <c r="D19" i="18"/>
  <c r="E19" i="18"/>
  <c r="F19" i="18"/>
  <c r="D20" i="18"/>
  <c r="E20" i="18"/>
  <c r="F20" i="18"/>
  <c r="D21" i="18"/>
  <c r="E21" i="18"/>
  <c r="F21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F6" i="18"/>
  <c r="F29" i="18" s="1"/>
  <c r="E6" i="18"/>
  <c r="D6" i="18"/>
  <c r="B6" i="18"/>
  <c r="B29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28" i="18" s="1"/>
  <c r="B8" i="18"/>
  <c r="B7" i="18"/>
  <c r="B30" i="18" l="1"/>
  <c r="F28" i="18"/>
  <c r="F30" i="18" s="1"/>
  <c r="D28" i="18"/>
  <c r="D30" i="18" s="1"/>
  <c r="E28" i="18"/>
  <c r="E30" i="18" s="1"/>
  <c r="C28" i="18"/>
  <c r="C30" i="18" s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<sst xmlns="http://schemas.openxmlformats.org/spreadsheetml/2006/main" count="405" uniqueCount="182">
  <si>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</si>
  <si>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</si>
  <si>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</si>
  <si>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</si>
  <si>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</si>
  <si>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</si>
  <si>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</si>
  <si>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</si>
  <si>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</si>
  <si>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</si>
  <si>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</si>
  <si>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</si>
  <si>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</si>
  <si>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</si>
  <si>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</si>
  <si>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</si>
  <si>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</si>
  <si>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</si>
  <si>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</si>
  <si>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</si>
  <si>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</si>
  <si>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</si>
  <si>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</si>
  <si>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</si>
  <si>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</si>
  <si>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</si>
  <si>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</si>
  <si>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</si>
  <si>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</si>
  <si>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</si>
  <si>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</si>
  <si>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</si>
  <si>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</si>
  <si>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</si>
  <si>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</si>
  <si>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</si>
  <si>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</si>
  <si>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</si>
  <si>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</si>
  <si>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</si>
  <si>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</si>
  <si>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</si>
  <si>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</si>
  <si>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</si>
  <si>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</si>
  <si>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</si>
  <si>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</si>
  <si>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</si>
  <si>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</si>
  <si>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</si>
  <si>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</si>
  <si>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</si>
  <si>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</si>
  <si>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</si>
  <si>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</si>
  <si>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</si>
  <si>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</si>
  <si>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</si>
  <si>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</si>
  <si>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</si>
  <si>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</si>
  <si>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</si>
  <si>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</si>
  <si>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</si>
  <si>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</si>
  <si>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</si>
  <si>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</si>
  <si>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</si>
  <si>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</si>
  <si>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</si>
  <si>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</si>
  <si>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</si>
  <si>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</si>
  <si>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</si>
  <si>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</si>
  <si>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</si>
  <si>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</si>
  <si>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</si>
  <si>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</si>
  <si>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</si>
  <si>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</si>
  <si>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</si>
  <si>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</si>
  <si>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</si>
  <si>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</si>
  <si>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</si>
  <si>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</si>
  <si>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</si>
  <si>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</si>
  <si>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</si>
  <si>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</si>
  <si>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</si>
  <si>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</si>
  <si>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</si>
  <si>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</si>
  <si>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</si>
  <si>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</si>
  <si>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</si>
  <si>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</si>
  <si>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</si>
  <si>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</si>
  <si>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</si>
  <si>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</si>
  <si>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</si>
  <si>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</si>
  <si>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</si>
  <si>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</si>
  <si>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</si>
  <si>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</si>
  <si>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</si>
  <si>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</si>
  <si>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</si>
  <si>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</si>
  <si>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</si>
  <si>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</si>
  <si>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</si>
  <si>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</si>
  <si>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</si>
  <si>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</si>
  <si>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</si>
  <si>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</si>
  <si>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</si>
  <si>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</si>
  <si>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</si>
  <si>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</si>
  <si>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</si>
  <si>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</si>
  <si>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</si>
  <si>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</si>
  <si>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</si>
  <si>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</si>
  <si>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</si>
  <si>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</si>
  <si>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</si>
  <si>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</si>
  <si>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</si>
  <si>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</si>
  <si>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</si>
  <si>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</si>
  <si>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</si>
  <si>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</si>
  <si>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</si>
  <si>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</si>
  <si>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</si>
  <si>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</si>
  <si>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</si>
  <si>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</si>
  <si>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</si>
  <si>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</si>
  <si>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</si>
  <si>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</si>
  <si>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</si>
  <si>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</si>
  <si>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</si>
  <si>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</si>
  <si>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</si>
  <si>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</si>
  <si>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</si>
  <si>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</si>
  <si>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</si>
  <si>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</si>
  <si>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</si>
  <si>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</si>
  <si>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</si>
  <si>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</si>
  <si>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</si>
  <si>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</si>
  <si>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</si>
  <si>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</si>
  <si>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</si>
  <si>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</si>
  <si>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</si>
  <si>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</si>
  <si>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</si>
  <si>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</si>
  <si>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</si>
  <si>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</si>
  <si>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</si>
  <si>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1. By Using Built in Function of Text to Columns by Separating the repeated Character "-"
or 
2. BY Using Auto Fill by entering 1 row </t>
  </si>
  <si>
    <t>1. Text to Columns
2. Auto Fill</t>
  </si>
  <si>
    <t>Sum If</t>
  </si>
  <si>
    <t>Sum If Formula is Used for Certain elements by indicating with brackets for Changes in Value for error or Any Chaarcter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</si>
</sst>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5" fillId="0" borderId="0" xfId="0" applyFont="1" applyAlignment="1"/>
    <xf numFmtId="0" fontId="18" fillId="0" borderId="0" xfId="0" applyFont="1"/>
    <xf numFmtId="167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C15"/>
  <sheetViews>
    <sheetView zoomScaleNormal="100" workbookViewId="0">
      <selection activeCell="A8" sqref="A8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0"/>
  <sheetViews>
    <sheetView tabSelected="1" topLeftCell="N1" zoomScaleNormal="100" workbookViewId="0">
      <pane ySplit="1" topLeftCell="A19" activePane="bottomLeft" state="frozen"/>
      <selection pane="bottomLeft" activeCell="Z35" sqref="Z3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7">
        <v>-1</v>
      </c>
      <c r="K2" s="47">
        <v>-1</v>
      </c>
      <c r="L2" s="4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7">
        <v>-1</v>
      </c>
      <c r="K3" s="47">
        <v>-1</v>
      </c>
      <c r="L3" s="47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7">
        <v>-1</v>
      </c>
      <c r="K4" s="47">
        <v>-1</v>
      </c>
      <c r="L4" s="47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7">
        <v>-1</v>
      </c>
      <c r="K5" s="47">
        <v>-1</v>
      </c>
      <c r="L5" s="47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7">
        <v>-1</v>
      </c>
      <c r="K6" s="47">
        <v>-1</v>
      </c>
      <c r="L6" s="47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7">
        <v>-1</v>
      </c>
      <c r="K7" s="47">
        <v>-1</v>
      </c>
      <c r="L7" s="47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7">
        <v>-1</v>
      </c>
      <c r="K8" s="47">
        <v>-1</v>
      </c>
      <c r="L8" s="47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7">
        <v>-1</v>
      </c>
      <c r="K9" s="47">
        <v>-1</v>
      </c>
      <c r="L9" s="47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7">
        <v>-1</v>
      </c>
      <c r="K10" s="47">
        <v>-1</v>
      </c>
      <c r="L10" s="47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7">
        <v>-1</v>
      </c>
      <c r="K11" s="47">
        <v>-1</v>
      </c>
      <c r="L11" s="47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7">
        <v>-1</v>
      </c>
      <c r="K13" s="47">
        <v>-1</v>
      </c>
      <c r="L13" s="47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7">
        <v>-1</v>
      </c>
      <c r="K14" s="47">
        <v>-1</v>
      </c>
      <c r="L14" s="47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7">
        <v>-1</v>
      </c>
      <c r="K15" s="47">
        <v>-1</v>
      </c>
      <c r="L15" s="47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7">
        <v>-1</v>
      </c>
      <c r="K16" s="47">
        <v>-1</v>
      </c>
      <c r="L16" s="47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7">
        <v>-1</v>
      </c>
      <c r="K17" s="47">
        <v>-1</v>
      </c>
      <c r="L17" s="47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7">
        <v>-1</v>
      </c>
      <c r="K18" s="47">
        <v>-1</v>
      </c>
      <c r="L18" s="47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7">
        <v>-1</v>
      </c>
      <c r="K19" s="47">
        <v>-1</v>
      </c>
      <c r="L19" s="47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7">
        <v>-1</v>
      </c>
      <c r="K20" s="47">
        <v>-1</v>
      </c>
      <c r="L20" s="47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7">
        <v>-1</v>
      </c>
      <c r="K21" s="47">
        <v>-1</v>
      </c>
      <c r="L21" s="47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7">
        <v>-1</v>
      </c>
      <c r="K22" s="47">
        <v>-1</v>
      </c>
      <c r="L22" s="47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7">
        <v>-1</v>
      </c>
      <c r="K23" s="47">
        <v>-1</v>
      </c>
      <c r="L23" s="47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7">
        <v>-1</v>
      </c>
      <c r="K24" s="47">
        <v>-1</v>
      </c>
      <c r="L24" s="47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7">
        <v>-1</v>
      </c>
      <c r="K25" s="47">
        <v>-1</v>
      </c>
      <c r="L25" s="47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7">
        <v>-1</v>
      </c>
      <c r="K27" s="47">
        <v>-1</v>
      </c>
      <c r="L27" s="47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7">
        <v>-1</v>
      </c>
      <c r="K28" s="47">
        <v>-1</v>
      </c>
      <c r="L28" s="47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7">
        <v>-1</v>
      </c>
      <c r="K29" s="47">
        <v>-1</v>
      </c>
      <c r="L29" s="47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7">
        <v>-1</v>
      </c>
      <c r="H30" s="47">
        <v>-1</v>
      </c>
      <c r="I30" s="47">
        <v>-1</v>
      </c>
      <c r="J30" s="47">
        <v>-1</v>
      </c>
      <c r="K30" s="47">
        <v>-1</v>
      </c>
      <c r="L30" s="47">
        <v>-1</v>
      </c>
      <c r="M30" s="47">
        <v>-1</v>
      </c>
      <c r="N30" s="47">
        <v>-1</v>
      </c>
      <c r="O30" s="47">
        <v>-1</v>
      </c>
      <c r="P30" s="47">
        <v>-1</v>
      </c>
      <c r="Q30" s="47">
        <v>-1</v>
      </c>
      <c r="R30" s="47">
        <v>-1</v>
      </c>
      <c r="S30" s="47">
        <v>-1</v>
      </c>
      <c r="T30" s="47">
        <v>-1</v>
      </c>
      <c r="U30" s="47">
        <v>-1</v>
      </c>
      <c r="V30" s="47">
        <v>-1</v>
      </c>
      <c r="W30" s="47">
        <v>-1</v>
      </c>
      <c r="X30" s="48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7">
        <v>-1</v>
      </c>
      <c r="K31" s="47">
        <v>-1</v>
      </c>
      <c r="L31" s="47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7">
        <v>-1</v>
      </c>
      <c r="H32" s="47">
        <v>-1</v>
      </c>
      <c r="I32" s="47">
        <v>-1</v>
      </c>
      <c r="J32" s="47">
        <v>-1</v>
      </c>
      <c r="K32" s="47">
        <v>-1</v>
      </c>
      <c r="L32" s="47">
        <v>-1</v>
      </c>
      <c r="M32" s="47">
        <v>-1</v>
      </c>
      <c r="N32" s="47">
        <v>-1</v>
      </c>
      <c r="O32" s="47">
        <v>-1</v>
      </c>
      <c r="P32" s="47">
        <v>-1</v>
      </c>
      <c r="Q32" s="47">
        <v>-1</v>
      </c>
      <c r="R32" s="47">
        <v>-1</v>
      </c>
      <c r="S32" s="47">
        <v>-1</v>
      </c>
      <c r="T32" s="47">
        <v>-1</v>
      </c>
      <c r="U32" s="47">
        <v>-1</v>
      </c>
      <c r="V32" s="47">
        <v>-1</v>
      </c>
      <c r="W32" s="47">
        <v>-1</v>
      </c>
      <c r="X32" s="48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7">
        <v>-1</v>
      </c>
      <c r="K33" s="47">
        <v>-1</v>
      </c>
      <c r="L33" s="47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7">
        <v>-1</v>
      </c>
      <c r="K34" s="47">
        <v>-1</v>
      </c>
      <c r="L34" s="47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7">
        <v>-1</v>
      </c>
      <c r="K35" s="47">
        <v>-1</v>
      </c>
      <c r="L35" s="47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7">
        <v>-1</v>
      </c>
      <c r="K36" s="47">
        <v>-1</v>
      </c>
      <c r="L36" s="47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7">
        <v>-1</v>
      </c>
      <c r="K37" s="47">
        <v>-1</v>
      </c>
      <c r="L37" s="47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7">
        <v>-1</v>
      </c>
      <c r="K38" s="47">
        <v>-1</v>
      </c>
      <c r="L38" s="47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7">
        <v>-1</v>
      </c>
      <c r="K39" s="47">
        <v>-1</v>
      </c>
      <c r="L39" s="47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7">
        <v>-1</v>
      </c>
      <c r="K40" s="47">
        <v>-1</v>
      </c>
      <c r="L40" s="47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B2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0"/>
  <sheetViews>
    <sheetView topLeftCell="A18" zoomScaleNormal="100" workbookViewId="0">
      <selection activeCell="B42" sqref="B42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VLOOKUP(A6,Dataset!A1:'Dataset'!X40,7,FALSE)</f>
        <v>2.7</v>
      </c>
      <c r="C6" s="12">
        <f>VLOOKUP(A6,Dataset!A1:'Dataset'!X40,14,FALSE)</f>
        <v>7.6</v>
      </c>
      <c r="D6" s="12">
        <f>VLOOKUP(A6,Dataset!A1:'Dataset'!X40,18,FALSE)</f>
        <v>4.2</v>
      </c>
      <c r="E6" s="12">
        <f>VLOOKUP(A6,Dataset!A1:'Dataset'!X40,20,FALSE)</f>
        <v>8.9</v>
      </c>
      <c r="F6" s="8">
        <f>VLOOKUP(A6,Dataset!A1:'Dataset'!X40,22,FALSE)</f>
        <v>4.2</v>
      </c>
    </row>
    <row r="7" spans="1:7" ht="15" x14ac:dyDescent="0.25">
      <c r="A7" s="7" t="s">
        <v>4</v>
      </c>
      <c r="B7" s="12">
        <f>VLOOKUP(A7,Dataset!A2:'Dataset'!X41,7,FALSE)</f>
        <v>2.7</v>
      </c>
      <c r="C7" s="12">
        <f>VLOOKUP(A7,Dataset!A2:'Dataset'!X41,14,FALSE)</f>
        <v>7.6</v>
      </c>
      <c r="D7" s="12">
        <f>VLOOKUP(A7,Dataset!A2:'Dataset'!X41,18,FALSE)</f>
        <v>4.2</v>
      </c>
      <c r="E7" s="12">
        <f>VLOOKUP(A7,Dataset!A2:'Dataset'!X41,20,FALSE)</f>
        <v>8.9</v>
      </c>
      <c r="F7" s="8">
        <f>VLOOKUP(A7,Dataset!A2:'Dataset'!X41,22,FALSE)</f>
        <v>4.2</v>
      </c>
    </row>
    <row r="8" spans="1:7" ht="15" x14ac:dyDescent="0.25">
      <c r="A8" s="7" t="s">
        <v>7</v>
      </c>
      <c r="B8" s="12">
        <f>VLOOKUP(A8,Dataset!A3:'Dataset'!X42,7,FALSE)</f>
        <v>3.6</v>
      </c>
      <c r="C8" s="12">
        <f>VLOOKUP(A8,Dataset!A3:'Dataset'!X42,14,FALSE)</f>
        <v>11.1</v>
      </c>
      <c r="D8" s="12">
        <f>VLOOKUP(A8,Dataset!A3:'Dataset'!X42,18,FALSE)</f>
        <v>5.8</v>
      </c>
      <c r="E8" s="12">
        <f>VLOOKUP(A8,Dataset!A3:'Dataset'!X42,20,FALSE)</f>
        <v>12.2</v>
      </c>
      <c r="F8" s="8">
        <f>VLOOKUP(A8,Dataset!A3:'Dataset'!X42,22,FALSE)</f>
        <v>5.8</v>
      </c>
    </row>
    <row r="9" spans="1:7" ht="15" x14ac:dyDescent="0.25">
      <c r="A9" s="7" t="s">
        <v>8</v>
      </c>
      <c r="B9" s="12">
        <f>VLOOKUP(A9,Dataset!A4:'Dataset'!X43,7,FALSE)</f>
        <v>4.9000000000000004</v>
      </c>
      <c r="C9" s="12">
        <f>VLOOKUP(A9,Dataset!A4:'Dataset'!X43,14,FALSE)</f>
        <v>13.3</v>
      </c>
      <c r="D9" s="12">
        <f>VLOOKUP(A9,Dataset!A4:'Dataset'!X43,18,FALSE)</f>
        <v>8.1</v>
      </c>
      <c r="E9" s="12">
        <f>VLOOKUP(A9,Dataset!A4:'Dataset'!X43,20,FALSE)</f>
        <v>17</v>
      </c>
      <c r="F9" s="8">
        <f>VLOOKUP(A9,Dataset!A4:'Dataset'!X43,22,FALSE)</f>
        <v>8.1</v>
      </c>
    </row>
    <row r="10" spans="1:7" ht="15" x14ac:dyDescent="0.25">
      <c r="A10" s="7" t="s">
        <v>11</v>
      </c>
      <c r="B10" s="12">
        <f>VLOOKUP(A10,Dataset!A5:'Dataset'!X44,7,FALSE)</f>
        <v>9.4</v>
      </c>
      <c r="C10" s="12">
        <f>VLOOKUP(A10,Dataset!A5:'Dataset'!X44,14,FALSE)</f>
        <v>28.3</v>
      </c>
      <c r="D10" s="12">
        <f>VLOOKUP(A10,Dataset!A5:'Dataset'!X44,18,FALSE)</f>
        <v>16.100000000000001</v>
      </c>
      <c r="E10" s="12">
        <f>VLOOKUP(A10,Dataset!A5:'Dataset'!X44,20,FALSE)</f>
        <v>32.799999999999997</v>
      </c>
      <c r="F10" s="8">
        <f>VLOOKUP(A10,Dataset!A5:'Dataset'!X44,22,FALSE)</f>
        <v>16.100000000000001</v>
      </c>
    </row>
    <row r="11" spans="1:7" ht="15" x14ac:dyDescent="0.25">
      <c r="A11" s="7" t="s">
        <v>12</v>
      </c>
      <c r="B11" s="12">
        <f>VLOOKUP(A11,Dataset!A6:'Dataset'!X45,7,FALSE)</f>
        <v>11.6</v>
      </c>
      <c r="C11" s="12">
        <f>VLOOKUP(A11,Dataset!A6:'Dataset'!X45,14,FALSE)</f>
        <v>35.200000000000003</v>
      </c>
      <c r="D11" s="12">
        <f>VLOOKUP(A11,Dataset!A6:'Dataset'!X45,18,FALSE)</f>
        <v>21.3</v>
      </c>
      <c r="E11" s="12">
        <f>VLOOKUP(A11,Dataset!A6:'Dataset'!X45,20,FALSE)</f>
        <v>43</v>
      </c>
      <c r="F11" s="8">
        <f>VLOOKUP(A11,Dataset!A6:'Dataset'!X45,22,FALSE)</f>
        <v>21.3</v>
      </c>
    </row>
    <row r="12" spans="1:7" ht="15" x14ac:dyDescent="0.25">
      <c r="A12" s="7" t="s">
        <v>14</v>
      </c>
      <c r="B12" s="12">
        <f>VLOOKUP(A12,Dataset!A7:'Dataset'!X46,7,FALSE)</f>
        <v>18.399999999999999</v>
      </c>
      <c r="C12" s="12">
        <f>VLOOKUP(A12,Dataset!A7:'Dataset'!X46,14,FALSE)</f>
        <v>55.6</v>
      </c>
      <c r="D12" s="12">
        <f>VLOOKUP(A12,Dataset!A7:'Dataset'!X46,18,FALSE)</f>
        <v>33.799999999999997</v>
      </c>
      <c r="E12" s="12">
        <f>VLOOKUP(A12,Dataset!A7:'Dataset'!X46,20,FALSE)</f>
        <v>67.900000000000006</v>
      </c>
      <c r="F12" s="8">
        <f>VLOOKUP(A12,Dataset!A7:'Dataset'!X46,22,FALSE)</f>
        <v>33.799999999999997</v>
      </c>
    </row>
    <row r="13" spans="1:7" ht="15" x14ac:dyDescent="0.25">
      <c r="A13" s="7" t="s">
        <v>15</v>
      </c>
      <c r="B13" s="12">
        <f>VLOOKUP(A13,Dataset!A8:'Dataset'!X47,7,FALSE)</f>
        <v>0</v>
      </c>
      <c r="C13" s="12">
        <f>VLOOKUP(A13,Dataset!A8:'Dataset'!X47,14,FALSE)</f>
        <v>0</v>
      </c>
      <c r="D13" s="12">
        <f>VLOOKUP(A13,Dataset!A8:'Dataset'!X47,18,FALSE)</f>
        <v>0</v>
      </c>
      <c r="E13" s="12">
        <f>VLOOKUP(A13,Dataset!A8:'Dataset'!X47,20,FALSE)</f>
        <v>0</v>
      </c>
      <c r="F13" s="8">
        <f>VLOOKUP(A13,Dataset!A8:'Dataset'!X47,22,FALSE)</f>
        <v>0</v>
      </c>
    </row>
    <row r="14" spans="1:7" ht="15" x14ac:dyDescent="0.25">
      <c r="A14" s="7" t="s">
        <v>16</v>
      </c>
      <c r="B14" s="12">
        <f>VLOOKUP(A14,Dataset!A9:'Dataset'!X48,7,FALSE)</f>
        <v>21.9</v>
      </c>
      <c r="C14" s="12">
        <f>VLOOKUP(A14,Dataset!A9:'Dataset'!X48,14,FALSE)</f>
        <v>61.5</v>
      </c>
      <c r="D14" s="12">
        <f>VLOOKUP(A14,Dataset!A9:'Dataset'!X48,18,FALSE)</f>
        <v>40.1</v>
      </c>
      <c r="E14" s="12">
        <f>VLOOKUP(A14,Dataset!A9:'Dataset'!X48,20,FALSE)</f>
        <v>76.599999999999994</v>
      </c>
      <c r="F14" s="8">
        <f>VLOOKUP(A14,Dataset!A9:'Dataset'!X48,22,FALSE)</f>
        <v>40.1</v>
      </c>
    </row>
    <row r="15" spans="1:7" ht="15" x14ac:dyDescent="0.25">
      <c r="A15" s="7" t="s">
        <v>18</v>
      </c>
      <c r="B15" s="12">
        <f>VLOOKUP(A15,Dataset!A10:'Dataset'!X49,7,FALSE)</f>
        <v>26.8</v>
      </c>
      <c r="C15" s="12">
        <f>VLOOKUP(A15,Dataset!A10:'Dataset'!X49,14,FALSE)</f>
        <v>79.599999999999994</v>
      </c>
      <c r="D15" s="12">
        <f>VLOOKUP(A15,Dataset!A10:'Dataset'!X49,18,FALSE)</f>
        <v>47.9</v>
      </c>
      <c r="E15" s="12">
        <f>VLOOKUP(A15,Dataset!A10:'Dataset'!X49,20,FALSE)</f>
        <v>96.8</v>
      </c>
      <c r="F15" s="8">
        <f>VLOOKUP(A15,Dataset!A10:'Dataset'!X49,22,FALSE)</f>
        <v>47.9</v>
      </c>
    </row>
    <row r="16" spans="1:7" ht="15" x14ac:dyDescent="0.25">
      <c r="A16" s="7" t="s">
        <v>20</v>
      </c>
      <c r="B16" s="12">
        <f>VLOOKUP(A16,Dataset!A11:'Dataset'!X50,7,FALSE)</f>
        <v>28.5</v>
      </c>
      <c r="C16" s="12">
        <f>VLOOKUP(A16,Dataset!A11:'Dataset'!X50,14,FALSE)</f>
        <v>85.4</v>
      </c>
      <c r="D16" s="12">
        <f>VLOOKUP(A16,Dataset!A11:'Dataset'!X50,18,FALSE)</f>
        <v>52.3</v>
      </c>
      <c r="E16" s="12">
        <f>VLOOKUP(A16,Dataset!A11:'Dataset'!X50,20,FALSE)</f>
        <v>106.1</v>
      </c>
      <c r="F16" s="8">
        <f>VLOOKUP(A16,Dataset!A11:'Dataset'!X50,22,FALSE)</f>
        <v>52.3</v>
      </c>
    </row>
    <row r="17" spans="1:6" ht="15" x14ac:dyDescent="0.25">
      <c r="A17" s="7" t="s">
        <v>22</v>
      </c>
      <c r="B17" s="12">
        <f>VLOOKUP(A17,Dataset!A12:'Dataset'!X51,7,FALSE)</f>
        <v>30.7</v>
      </c>
      <c r="C17" s="12">
        <f>VLOOKUP(A17,Dataset!A12:'Dataset'!X51,14,FALSE)</f>
        <v>92.1</v>
      </c>
      <c r="D17" s="12">
        <f>VLOOKUP(A17,Dataset!A12:'Dataset'!X51,18,FALSE)</f>
        <v>57</v>
      </c>
      <c r="E17" s="12">
        <f>VLOOKUP(A17,Dataset!A12:'Dataset'!X51,20,FALSE)</f>
        <v>115.1</v>
      </c>
      <c r="F17" s="8">
        <f>VLOOKUP(A17,Dataset!A12:'Dataset'!X51,22,FALSE)</f>
        <v>57</v>
      </c>
    </row>
    <row r="18" spans="1:6" ht="15" x14ac:dyDescent="0.25">
      <c r="A18" s="7" t="s">
        <v>23</v>
      </c>
      <c r="B18" s="12">
        <f>VLOOKUP(A18,Dataset!A13:'Dataset'!X52,7,FALSE)</f>
        <v>33.799999999999997</v>
      </c>
      <c r="C18" s="12">
        <f>VLOOKUP(A18,Dataset!A13:'Dataset'!X52,14,FALSE)</f>
        <v>101.3</v>
      </c>
      <c r="D18" s="12">
        <f>VLOOKUP(A18,Dataset!A13:'Dataset'!X52,18,FALSE)</f>
        <v>61.4</v>
      </c>
      <c r="E18" s="12">
        <f>VLOOKUP(A18,Dataset!A13:'Dataset'!X52,20,FALSE)</f>
        <v>124.4</v>
      </c>
      <c r="F18" s="8">
        <f>VLOOKUP(A18,Dataset!A13:'Dataset'!X52,22,FALSE)</f>
        <v>61.4</v>
      </c>
    </row>
    <row r="19" spans="1:6" ht="15" x14ac:dyDescent="0.25">
      <c r="A19" s="7" t="s">
        <v>24</v>
      </c>
      <c r="B19" s="12">
        <f>VLOOKUP(A19,Dataset!A14:'Dataset'!X53,7,FALSE)</f>
        <v>34.700000000000003</v>
      </c>
      <c r="C19" s="12">
        <f>VLOOKUP(A19,Dataset!A14:'Dataset'!X53,14,FALSE)</f>
        <v>106.1</v>
      </c>
      <c r="D19" s="12">
        <f>VLOOKUP(A19,Dataset!A14:'Dataset'!X53,18,FALSE)</f>
        <v>63.6</v>
      </c>
      <c r="E19" s="12">
        <f>VLOOKUP(A19,Dataset!A14:'Dataset'!X53,20,FALSE)</f>
        <v>128.6</v>
      </c>
      <c r="F19" s="8">
        <f>VLOOKUP(A19,Dataset!A14:'Dataset'!X53,22,FALSE)</f>
        <v>63.6</v>
      </c>
    </row>
    <row r="20" spans="1:6" ht="15" x14ac:dyDescent="0.25">
      <c r="A20" s="7" t="s">
        <v>28</v>
      </c>
      <c r="B20" s="12">
        <f>VLOOKUP(A20,Dataset!A15:'Dataset'!X54,7,FALSE)</f>
        <v>0</v>
      </c>
      <c r="C20" s="12">
        <f>VLOOKUP(A20,Dataset!A15:'Dataset'!X54,14,FALSE)</f>
        <v>0</v>
      </c>
      <c r="D20" s="12">
        <f>VLOOKUP(A20,Dataset!A15:'Dataset'!X54,18,FALSE)</f>
        <v>0</v>
      </c>
      <c r="E20" s="12">
        <f>VLOOKUP(A20,Dataset!A15:'Dataset'!X54,20,FALSE)</f>
        <v>0</v>
      </c>
      <c r="F20" s="8">
        <f>VLOOKUP(A20,Dataset!A15:'Dataset'!X54,22,FALSE)</f>
        <v>0</v>
      </c>
    </row>
    <row r="21" spans="1:6" ht="15" x14ac:dyDescent="0.25">
      <c r="A21" s="7" t="s">
        <v>57</v>
      </c>
      <c r="B21" s="12">
        <f>VLOOKUP(A21,Dataset!A16:'Dataset'!X55,7,FALSE)</f>
        <v>41.3</v>
      </c>
      <c r="C21" s="12">
        <f>VLOOKUP(A21,Dataset!A16:'Dataset'!X55,14,FALSE)</f>
        <v>124.4</v>
      </c>
      <c r="D21" s="12">
        <f>VLOOKUP(A21,Dataset!A16:'Dataset'!X55,18,FALSE)</f>
        <v>75</v>
      </c>
      <c r="E21" s="12">
        <f>VLOOKUP(A21,Dataset!A16:'Dataset'!X55,20,FALSE)</f>
        <v>151.5</v>
      </c>
      <c r="F21" s="8">
        <f>VLOOKUP(A21,Dataset!A16:'Dataset'!X55,22,FALSE)</f>
        <v>75</v>
      </c>
    </row>
    <row r="22" spans="1:6" ht="15" x14ac:dyDescent="0.25">
      <c r="A22" s="7" t="s">
        <v>58</v>
      </c>
      <c r="B22" s="12">
        <f>VLOOKUP(A22,Dataset!A17:'Dataset'!X56,7,FALSE)</f>
        <v>-1</v>
      </c>
      <c r="C22" s="12">
        <f>VLOOKUP(A22,Dataset!A17:'Dataset'!X56,14,FALSE)</f>
        <v>-1</v>
      </c>
      <c r="D22" s="12">
        <f>VLOOKUP(A22,Dataset!A17:'Dataset'!X56,18,FALSE)</f>
        <v>-1</v>
      </c>
      <c r="E22" s="12">
        <f>VLOOKUP(A22,Dataset!A17:'Dataset'!X56,20,FALSE)</f>
        <v>-1</v>
      </c>
      <c r="F22" s="8">
        <f>VLOOKUP(A22,Dataset!A17:'Dataset'!X56,22,FALSE)</f>
        <v>-1</v>
      </c>
    </row>
    <row r="23" spans="1:6" ht="15" x14ac:dyDescent="0.25">
      <c r="A23" s="7" t="s">
        <v>31</v>
      </c>
      <c r="B23" s="12">
        <f>VLOOKUP(A23,Dataset!A18:'Dataset'!X57,7,FALSE)</f>
        <v>45</v>
      </c>
      <c r="C23" s="12">
        <f>VLOOKUP(A23,Dataset!A18:'Dataset'!X57,14,FALSE)</f>
        <v>133.4</v>
      </c>
      <c r="D23" s="12">
        <f>VLOOKUP(A23,Dataset!A18:'Dataset'!X57,18,FALSE)</f>
        <v>79.400000000000006</v>
      </c>
      <c r="E23" s="12">
        <f>VLOOKUP(A23,Dataset!A18:'Dataset'!X57,20,FALSE)</f>
        <v>160.9</v>
      </c>
      <c r="F23" s="8">
        <f>VLOOKUP(A23,Dataset!A18:'Dataset'!X57,22,FALSE)</f>
        <v>79.400000000000006</v>
      </c>
    </row>
    <row r="24" spans="1:6" ht="15" x14ac:dyDescent="0.25">
      <c r="A24" s="7" t="s">
        <v>32</v>
      </c>
      <c r="B24" s="12">
        <f>VLOOKUP(A24,Dataset!A19:'Dataset'!X58,7,FALSE)</f>
        <v>-1</v>
      </c>
      <c r="C24" s="12">
        <f>VLOOKUP(A24,Dataset!A19:'Dataset'!X58,14,FALSE)</f>
        <v>-1</v>
      </c>
      <c r="D24" s="12">
        <f>VLOOKUP(A24,Dataset!A19:'Dataset'!X58,18,FALSE)</f>
        <v>-1</v>
      </c>
      <c r="E24" s="12">
        <f>VLOOKUP(A24,Dataset!A19:'Dataset'!X58,20,FALSE)</f>
        <v>-1</v>
      </c>
      <c r="F24" s="8">
        <f>VLOOKUP(A24,Dataset!A19:'Dataset'!X58,22,FALSE)</f>
        <v>-1</v>
      </c>
    </row>
    <row r="25" spans="1:6" ht="15" x14ac:dyDescent="0.25">
      <c r="A25" s="7" t="s">
        <v>34</v>
      </c>
      <c r="B25" s="12">
        <f>VLOOKUP(A25,Dataset!A20:'Dataset'!X59,7,FALSE)</f>
        <v>43.3</v>
      </c>
      <c r="C25" s="12">
        <f>VLOOKUP(A25,Dataset!A20:'Dataset'!X59,14,FALSE)</f>
        <v>128.6</v>
      </c>
      <c r="D25" s="12">
        <f>VLOOKUP(A25,Dataset!A20:'Dataset'!X59,18,FALSE)</f>
        <v>79.400000000000006</v>
      </c>
      <c r="E25" s="12">
        <f>VLOOKUP(A25,Dataset!A20:'Dataset'!X59,20,FALSE)</f>
        <v>160.9</v>
      </c>
      <c r="F25" s="8">
        <f>VLOOKUP(A25,Dataset!A20:'Dataset'!X59,22,FALSE)</f>
        <v>79.400000000000006</v>
      </c>
    </row>
    <row r="26" spans="1:6" ht="15" x14ac:dyDescent="0.25">
      <c r="A26" s="7" t="s">
        <v>37</v>
      </c>
      <c r="B26" s="12">
        <f>VLOOKUP(A26,Dataset!A21:'Dataset'!X60,7,FALSE)</f>
        <v>49.1</v>
      </c>
      <c r="C26" s="12">
        <f>VLOOKUP(A26,Dataset!A21:'Dataset'!X60,14,FALSE)</f>
        <v>146.80000000000001</v>
      </c>
      <c r="D26" s="12">
        <f>VLOOKUP(A26,Dataset!A21:'Dataset'!X60,18,FALSE)</f>
        <v>90.9</v>
      </c>
      <c r="E26" s="12">
        <f>VLOOKUP(A26,Dataset!A21:'Dataset'!X60,20,FALSE)</f>
        <v>183.5</v>
      </c>
      <c r="F26" s="8">
        <f>VLOOKUP(A26,Dataset!A21:'Dataset'!X60,22,FALSE)</f>
        <v>90.9</v>
      </c>
    </row>
    <row r="27" spans="1:6" ht="15" x14ac:dyDescent="0.25">
      <c r="A27" s="7" t="s">
        <v>39</v>
      </c>
      <c r="B27" s="12">
        <f>VLOOKUP(A27,Dataset!A22:'Dataset'!X61,7,FALSE)</f>
        <v>51.8</v>
      </c>
      <c r="C27" s="12">
        <f>VLOOKUP(A27,Dataset!A22:'Dataset'!X61,14,FALSE)</f>
        <v>156.4</v>
      </c>
      <c r="D27" s="12">
        <f>VLOOKUP(A27,Dataset!A22:'Dataset'!X61,18,FALSE)</f>
        <v>93.1</v>
      </c>
      <c r="E27" s="12">
        <f>VLOOKUP(A27,Dataset!A22:'Dataset'!X61,20,FALSE)</f>
        <v>188.1</v>
      </c>
      <c r="F27" s="8">
        <f>VLOOKUP(A27,Dataset!A22:'Dataset'!X61,22,FALSE)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AVERAGE(B6:B29)</f>
        <v>21.208333333333336</v>
      </c>
      <c r="C30" s="31">
        <f t="shared" ref="C30:F30" si="2">AVERAGE(C6:C29)</f>
        <v>63.654166666666669</v>
      </c>
      <c r="D30" s="31">
        <f t="shared" si="2"/>
        <v>38.487500000000004</v>
      </c>
      <c r="E30" s="31">
        <f t="shared" si="2"/>
        <v>77.845833333333331</v>
      </c>
      <c r="F30" s="31">
        <f t="shared" si="2"/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54"/>
  <sheetViews>
    <sheetView topLeftCell="A44" zoomScaleNormal="100" workbookViewId="0">
      <selection activeCell="B66" sqref="B6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3" t="s">
        <v>53</v>
      </c>
      <c r="B5" s="46" t="s">
        <v>179</v>
      </c>
    </row>
    <row r="6" spans="1:10" ht="18.75" x14ac:dyDescent="0.3">
      <c r="A6" s="43" t="s">
        <v>154</v>
      </c>
      <c r="B6" s="46" t="s">
        <v>178</v>
      </c>
    </row>
    <row r="7" spans="1:10" ht="18.75" x14ac:dyDescent="0.3">
      <c r="A7" s="43"/>
      <c r="B7" s="40"/>
    </row>
    <row r="9" spans="1:10" ht="23.25" x14ac:dyDescent="0.35">
      <c r="A9" s="18" t="s">
        <v>166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2"/>
  <sheetViews>
    <sheetView topLeftCell="A2" zoomScaleNormal="100" workbookViewId="0">
      <selection activeCell="B2" sqref="B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168</v>
      </c>
    </row>
    <row r="2" spans="1:3" ht="18.75" x14ac:dyDescent="0.3">
      <c r="B2" s="40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154</v>
      </c>
      <c r="B7" s="1" t="s">
        <v>181</v>
      </c>
    </row>
    <row r="10" spans="1:3" ht="23.25" x14ac:dyDescent="0.35">
      <c r="A10" s="18" t="s">
        <v>163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5"/>
  <sheetViews>
    <sheetView topLeftCell="A8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176</v>
      </c>
    </row>
    <row r="3" spans="1:14" ht="15" x14ac:dyDescent="0.25">
      <c r="B3" s="1" t="s">
        <v>152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154</v>
      </c>
      <c r="B5" s="1"/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  <c r="E23" s="2" t="str">
        <f>VLOOKUP(A23,$M:$N,2,FALSE)</f>
        <v>A</v>
      </c>
      <c r="F23" s="2" t="str">
        <f>VLOOKUP(B23,$M:$N,2,FALSE)</f>
        <v>B</v>
      </c>
      <c r="G23" s="44" t="e">
        <f>INDEX($B$9:$J$18, MATCH("B", $A$10:$A$18, 0), MATCH("A", $A$1:$I$1, 0))</f>
        <v>#N/A</v>
      </c>
    </row>
    <row r="24" spans="1:14" ht="15" x14ac:dyDescent="0.25">
      <c r="A24" s="7">
        <v>10100</v>
      </c>
      <c r="B24" s="12">
        <v>10104</v>
      </c>
      <c r="C24" s="44"/>
      <c r="E24" s="2" t="str">
        <f t="shared" ref="E24:E35" si="0">VLOOKUP(A24,$M:$N,2,FALSE)</f>
        <v>A</v>
      </c>
      <c r="F24" s="2" t="str">
        <f t="shared" ref="F24:F35" si="1">VLOOKUP(B24,$M:$N,2,FALSE)</f>
        <v>C</v>
      </c>
    </row>
    <row r="25" spans="1:14" ht="15" x14ac:dyDescent="0.25">
      <c r="A25" s="7">
        <v>10108</v>
      </c>
      <c r="B25" s="12">
        <v>10102</v>
      </c>
      <c r="C25" s="44"/>
      <c r="E25" s="2" t="str">
        <f t="shared" si="0"/>
        <v>E</v>
      </c>
      <c r="F25" s="2" t="str">
        <f t="shared" si="1"/>
        <v>B</v>
      </c>
    </row>
    <row r="26" spans="1:14" ht="15" x14ac:dyDescent="0.25">
      <c r="A26" s="7">
        <v>10100</v>
      </c>
      <c r="B26" s="12">
        <v>10106</v>
      </c>
      <c r="C26" s="44"/>
      <c r="E26" s="2" t="str">
        <f t="shared" si="0"/>
        <v>A</v>
      </c>
      <c r="F26" s="2" t="str">
        <f t="shared" si="1"/>
        <v>D</v>
      </c>
    </row>
    <row r="27" spans="1:14" ht="15" x14ac:dyDescent="0.25">
      <c r="A27" s="7">
        <v>10108</v>
      </c>
      <c r="B27" s="12">
        <v>10110</v>
      </c>
      <c r="C27" s="44"/>
      <c r="E27" s="2" t="str">
        <f t="shared" si="0"/>
        <v>E</v>
      </c>
      <c r="F27" s="2" t="str">
        <f t="shared" si="1"/>
        <v>F</v>
      </c>
    </row>
    <row r="28" spans="1:14" ht="15" x14ac:dyDescent="0.25">
      <c r="A28" s="7">
        <v>10102</v>
      </c>
      <c r="B28" s="12">
        <v>10104</v>
      </c>
      <c r="C28" s="44"/>
      <c r="E28" s="2" t="str">
        <f t="shared" si="0"/>
        <v>B</v>
      </c>
      <c r="F28" s="2" t="str">
        <f t="shared" si="1"/>
        <v>C</v>
      </c>
    </row>
    <row r="29" spans="1:14" ht="15" x14ac:dyDescent="0.25">
      <c r="A29" s="7">
        <v>10106</v>
      </c>
      <c r="B29" s="12">
        <v>10108</v>
      </c>
      <c r="C29" s="44"/>
      <c r="E29" s="2" t="str">
        <f t="shared" si="0"/>
        <v>D</v>
      </c>
      <c r="F29" s="2" t="str">
        <f t="shared" si="1"/>
        <v>E</v>
      </c>
    </row>
    <row r="30" spans="1:14" ht="15" x14ac:dyDescent="0.25">
      <c r="A30" s="7">
        <v>10102</v>
      </c>
      <c r="B30" s="12">
        <v>10106</v>
      </c>
      <c r="C30" s="44"/>
      <c r="E30" s="2" t="str">
        <f t="shared" si="0"/>
        <v>B</v>
      </c>
      <c r="F30" s="2" t="str">
        <f t="shared" si="1"/>
        <v>D</v>
      </c>
    </row>
    <row r="31" spans="1:14" ht="15" x14ac:dyDescent="0.25">
      <c r="A31" s="7">
        <v>10110</v>
      </c>
      <c r="B31" s="12">
        <v>10114</v>
      </c>
      <c r="C31" s="44"/>
      <c r="E31" s="2" t="str">
        <f t="shared" si="0"/>
        <v>F</v>
      </c>
      <c r="F31" s="2" t="str">
        <f t="shared" si="1"/>
        <v>H</v>
      </c>
    </row>
    <row r="32" spans="1:14" ht="15" x14ac:dyDescent="0.25">
      <c r="A32" s="7">
        <v>10104</v>
      </c>
      <c r="B32" s="12">
        <v>10106</v>
      </c>
      <c r="C32" s="44"/>
      <c r="E32" s="2" t="str">
        <f t="shared" si="0"/>
        <v>C</v>
      </c>
      <c r="F32" s="2" t="str">
        <f t="shared" si="1"/>
        <v>D</v>
      </c>
    </row>
    <row r="33" spans="1:6" ht="15" x14ac:dyDescent="0.25">
      <c r="A33" s="7">
        <v>10110</v>
      </c>
      <c r="B33" s="12">
        <v>10112</v>
      </c>
      <c r="C33" s="44"/>
      <c r="E33" s="2" t="str">
        <f t="shared" si="0"/>
        <v>F</v>
      </c>
      <c r="F33" s="2" t="str">
        <f t="shared" si="1"/>
        <v>G</v>
      </c>
    </row>
    <row r="34" spans="1:6" ht="15" x14ac:dyDescent="0.25">
      <c r="A34" s="7">
        <v>10100</v>
      </c>
      <c r="B34" s="12">
        <v>10114</v>
      </c>
      <c r="C34" s="44"/>
      <c r="E34" s="2" t="str">
        <f t="shared" si="0"/>
        <v>A</v>
      </c>
      <c r="F34" s="2" t="str">
        <f t="shared" si="1"/>
        <v>H</v>
      </c>
    </row>
    <row r="35" spans="1:6" ht="15" x14ac:dyDescent="0.25">
      <c r="A35" s="9">
        <v>10112</v>
      </c>
      <c r="B35" s="13">
        <v>10116</v>
      </c>
      <c r="C35" s="45"/>
      <c r="E35" s="2" t="str">
        <f t="shared" si="0"/>
        <v>G</v>
      </c>
      <c r="F35" s="2" t="str">
        <f t="shared" si="1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Yathish kumar</cp:lastModifiedBy>
  <dcterms:created xsi:type="dcterms:W3CDTF">2015-02-10T17:33:11Z</dcterms:created>
  <dcterms:modified xsi:type="dcterms:W3CDTF">2023-12-11T17:36:47Z</dcterms:modified>
</cp:coreProperties>
</file>